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サマリー" sheetId="1" state="visible" r:id="rId1"/>
    <sheet name="②ワイパー詳細" sheetId="2" state="visible" r:id="rId2"/>
    <sheet name="③デポジットクリーナー詳細" sheetId="3" state="visible" r:id="rId3"/>
    <sheet name="④SS戦略マッ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Yu Gothic"/>
      <b val="1"/>
      <color rgb="00FFFFFF"/>
      <sz val="18"/>
    </font>
    <font>
      <name val="Yu Gothic"/>
      <color rgb="00FFFFFF"/>
      <sz val="10"/>
    </font>
    <font>
      <name val="Yu Gothic"/>
      <b val="1"/>
      <color rgb="00FFFFFF"/>
      <sz val="10"/>
    </font>
    <font>
      <name val="Yu Gothic"/>
      <color rgb="00595959"/>
      <sz val="9"/>
    </font>
    <font>
      <name val="Yu Gothic"/>
      <b val="1"/>
      <color rgb="001F3864"/>
      <sz val="16"/>
    </font>
    <font>
      <name val="Yu Gothic"/>
      <b val="1"/>
      <color rgb="007F6000"/>
      <sz val="11"/>
    </font>
    <font>
      <name val="Yu Gothic"/>
      <b val="1"/>
      <color rgb="00843C0C"/>
      <sz val="11"/>
    </font>
    <font>
      <name val="Yu Gothic"/>
      <b val="1"/>
      <color rgb="00375623"/>
      <sz val="11"/>
    </font>
    <font>
      <name val="Yu Gothic"/>
      <b val="1"/>
      <color rgb="00FFFFFF"/>
      <sz val="11"/>
    </font>
    <font>
      <name val="Yu Gothic"/>
      <b val="1"/>
      <color rgb="00FFFFFF"/>
      <sz val="9"/>
    </font>
    <font>
      <name val="Yu Gothic"/>
      <b val="1"/>
      <color rgb="001F3864"/>
      <sz val="10"/>
    </font>
    <font>
      <name val="Yu Gothic"/>
      <color rgb="00000000"/>
      <sz val="10"/>
    </font>
    <font>
      <name val="Yu Gothic"/>
      <b val="1"/>
      <color rgb="00000000"/>
      <sz val="10"/>
    </font>
    <font>
      <name val="Yu Gothic"/>
      <b val="1"/>
      <color rgb="007F6000"/>
      <sz val="10"/>
    </font>
    <font>
      <name val="Yu Gothic"/>
      <b val="1"/>
      <color rgb="00375623"/>
      <sz val="10"/>
    </font>
    <font>
      <name val="Yu Gothic"/>
      <color rgb="00000000"/>
      <sz val="8"/>
    </font>
    <font>
      <name val="Yu Gothic"/>
      <b val="1"/>
      <color rgb="00FFFFFF"/>
      <sz val="16"/>
    </font>
    <font>
      <name val="Yu Gothic"/>
      <b val="1"/>
      <color rgb="00843C0C"/>
      <sz val="10"/>
    </font>
    <font>
      <name val="Yu Gothic"/>
      <color rgb="00375623"/>
      <sz val="10"/>
    </font>
    <font>
      <name val="Yu Gothic"/>
      <color rgb="007F6000"/>
      <sz val="10"/>
    </font>
    <font>
      <name val="Yu Gothic"/>
      <color rgb="00843C0C"/>
      <sz val="10"/>
    </font>
    <font>
      <name val="Yu Gothic"/>
      <b val="1"/>
      <color rgb="007F6000"/>
      <sz val="13"/>
    </font>
    <font>
      <name val="Yu Gothic"/>
      <b val="1"/>
      <color rgb="00375623"/>
      <sz val="13"/>
    </font>
    <font>
      <name val="Yu Gothic"/>
      <b val="1"/>
      <color rgb="00843C0C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</fills>
  <borders count="6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thin">
        <color rgb="00BBBBBB"/>
      </bottom>
    </border>
    <border>
      <left style="medium">
        <color rgb="00888888"/>
      </left>
      <right style="medium">
        <color rgb="00888888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medium">
        <color rgb="00888888"/>
      </right>
      <top style="thin">
        <color rgb="00BBBBBB"/>
      </top>
      <bottom style="medium">
        <color rgb="00888888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6" borderId="0" pivotButton="0" quotePrefix="0" xfId="0"/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4" fillId="7" borderId="5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8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  <xf numFmtId="9" fontId="13" fillId="7" borderId="5" applyAlignment="1" pivotButton="0" quotePrefix="0" xfId="0">
      <alignment horizontal="center" vertical="center"/>
    </xf>
    <xf numFmtId="9" fontId="12" fillId="7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11" fillId="6" borderId="5" applyAlignment="1" pivotButton="0" quotePrefix="0" xfId="0">
      <alignment horizontal="left" vertical="center"/>
    </xf>
    <xf numFmtId="0" fontId="12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9" fontId="13" fillId="6" borderId="5" applyAlignment="1" pivotButton="0" quotePrefix="0" xfId="0">
      <alignment horizontal="center" vertical="center"/>
    </xf>
    <xf numFmtId="9" fontId="12" fillId="6" borderId="5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center"/>
    </xf>
    <xf numFmtId="0" fontId="15" fillId="5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left" vertical="center"/>
    </xf>
    <xf numFmtId="0" fontId="16" fillId="7" borderId="5" applyAlignment="1" pivotButton="0" quotePrefix="0" xfId="0">
      <alignment horizontal="center" vertical="center"/>
    </xf>
    <xf numFmtId="9" fontId="0" fillId="0" borderId="0" pivotButton="0" quotePrefix="0" xfId="0"/>
    <xf numFmtId="0" fontId="0" fillId="8" borderId="0" pivotButton="0" quotePrefix="0" xfId="0"/>
    <xf numFmtId="0" fontId="17" fillId="8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2" borderId="5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3" fillId="8" borderId="5" applyAlignment="1" pivotButton="0" quotePrefix="0" xfId="0">
      <alignment horizontal="center" vertical="center"/>
    </xf>
    <xf numFmtId="9" fontId="3" fillId="8" borderId="5" applyAlignment="1" pivotButton="0" quotePrefix="0" xfId="0">
      <alignment horizontal="center" vertical="center"/>
    </xf>
    <xf numFmtId="0" fontId="12" fillId="8" borderId="5" applyAlignment="1" pivotButton="0" quotePrefix="0" xfId="0">
      <alignment horizontal="center" vertical="center"/>
    </xf>
    <xf numFmtId="0" fontId="0" fillId="9" borderId="0" pivotButton="0" quotePrefix="0" xfId="0"/>
    <xf numFmtId="0" fontId="17" fillId="9" borderId="0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3" fillId="9" borderId="5" applyAlignment="1" pivotButton="0" quotePrefix="0" xfId="0">
      <alignment horizontal="left" vertical="center"/>
    </xf>
    <xf numFmtId="0" fontId="3" fillId="9" borderId="5" applyAlignment="1" pivotButton="0" quotePrefix="0" xfId="0">
      <alignment horizontal="center" vertical="center"/>
    </xf>
    <xf numFmtId="9" fontId="3" fillId="9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0" fillId="10" borderId="0" pivotButton="0" quotePrefix="0" xfId="0"/>
    <xf numFmtId="0" fontId="17" fillId="10" borderId="0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5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left" vertical="center"/>
    </xf>
    <xf numFmtId="0" fontId="14" fillId="3" borderId="5" applyAlignment="1" pivotButton="0" quotePrefix="0" xfId="0">
      <alignment horizontal="left" vertical="center"/>
    </xf>
    <xf numFmtId="0" fontId="20" fillId="3" borderId="5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/>
    </xf>
    <xf numFmtId="0" fontId="21" fillId="4" borderId="5" applyAlignment="1" pivotButton="0" quotePrefix="0" xfId="0">
      <alignment horizontal="left" vertical="center"/>
    </xf>
    <xf numFmtId="0" fontId="10" fillId="2" borderId="5" applyAlignment="1" pivotButton="0" quotePrefix="0" xfId="0">
      <alignment horizontal="center" vertical="center" wrapText="1"/>
    </xf>
    <xf numFmtId="0" fontId="13" fillId="7" borderId="5" applyAlignment="1" pivotButton="0" quotePrefix="0" xfId="0">
      <alignment horizontal="left" vertical="center"/>
    </xf>
    <xf numFmtId="0" fontId="22" fillId="3" borderId="5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center" wrapText="1"/>
    </xf>
    <xf numFmtId="0" fontId="13" fillId="6" borderId="5" applyAlignment="1" pivotButton="0" quotePrefix="0" xfId="0">
      <alignment horizontal="left" vertical="center"/>
    </xf>
    <xf numFmtId="0" fontId="23" fillId="5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left" vertical="center" wrapText="1"/>
    </xf>
    <xf numFmtId="0" fontId="24" fillId="4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商品別 達成率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'①サマリー'!C26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'①サマリー'!$B$27:$B$32</f>
            </numRef>
          </cat>
          <val>
            <numRef>
              <f>'①サマリー'!$C$27:$C$32</f>
            </numRef>
          </val>
        </ser>
        <ser>
          <idx val="1"/>
          <order val="1"/>
          <tx>
            <strRef>
              <f>'①サマリー'!D26</f>
            </strRef>
          </tx>
          <spPr>
            <a:solidFill>
              <a:srgbClr val="D9D9D9"/>
            </a:solidFill>
            <a:ln>
              <a:solidFill>
                <a:srgbClr val="AAAAAA"/>
              </a:solidFill>
              <a:prstDash val="solid"/>
            </a:ln>
          </spPr>
          <cat>
            <numRef>
              <f>'①サマリー'!$B$27:$B$32</f>
            </numRef>
          </cat>
          <val>
            <numRef>
              <f>'①サマリー'!$D$27:$D$32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達成率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SS別 ワイパー 実績 vs 目標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'②ワイパー詳細'!C20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'②ワイパー詳細'!$B$21:$B$28</f>
            </numRef>
          </cat>
          <val>
            <numRef>
              <f>'②ワイパー詳細'!$C$21:$C$28</f>
            </numRef>
          </val>
        </ser>
        <ser>
          <idx val="1"/>
          <order val="1"/>
          <tx>
            <strRef>
              <f>'②ワイパー詳細'!D20</f>
            </strRef>
          </tx>
          <spPr>
            <a:solidFill>
              <a:srgbClr val="D9D9D9"/>
            </a:solidFill>
            <a:ln>
              <a:prstDash val="solid"/>
            </a:ln>
          </spPr>
          <cat>
            <numRef>
              <f>'②ワイパー詳細'!$B$21:$B$28</f>
            </numRef>
          </cat>
          <val>
            <numRef>
              <f>'②ワイパー詳細'!$D$21:$D$28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SS別 デポジットクリーナー 実績 vs 目標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'③デポジットクリーナー詳細'!C20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'③デポジットクリーナー詳細'!$B$21:$B$28</f>
            </numRef>
          </cat>
          <val>
            <numRef>
              <f>'③デポジットクリーナー詳細'!$C$21:$C$28</f>
            </numRef>
          </val>
        </ser>
        <ser>
          <idx val="1"/>
          <order val="1"/>
          <tx>
            <strRef>
              <f>'③デポジットクリーナー詳細'!D20</f>
            </strRef>
          </tx>
          <spPr>
            <a:solidFill>
              <a:srgbClr val="D9D9D9"/>
            </a:solidFill>
            <a:ln>
              <a:prstDash val="solid"/>
            </a:ln>
          </spPr>
          <cat>
            <numRef>
              <f>'③デポジットクリーナー詳細'!$B$21:$B$28</f>
            </numRef>
          </cat>
          <val>
            <numRef>
              <f>'③デポジットクリーナー詳細'!$D$21:$D$28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" customWidth="1" min="9" max="9"/>
  </cols>
  <sheetData>
    <row r="1" ht="8" customHeight="1">
      <c r="A1" s="1" t="n"/>
    </row>
    <row r="2" ht="32" customHeight="1">
      <c r="A2" s="2" t="inlineStr">
        <is>
          <t>特約店 商品別ダッシュボード</t>
        </is>
      </c>
    </row>
    <row r="3" ht="10" customHeight="1">
      <c r="A3" s="1" t="n"/>
    </row>
    <row r="4" ht="18" customHeight="1">
      <c r="A4" s="3" t="inlineStr">
        <is>
          <t>代理店：〇〇商事（仮）</t>
        </is>
      </c>
      <c r="E4" s="3" t="inlineStr">
        <is>
          <t>集計期間：2025年10月〜2026年3月（6ヶ月）</t>
        </is>
      </c>
    </row>
    <row r="5" ht="6" customHeight="1"/>
    <row r="6" ht="14" customHeight="1">
      <c r="B6" s="4" t="inlineStr">
        <is>
          <t>■ 全体 KPI</t>
        </is>
      </c>
    </row>
    <row r="7" ht="16" customHeight="1">
      <c r="A7" s="5" t="n"/>
      <c r="B7" s="6" t="inlineStr">
        <is>
          <t>全商品 達成率</t>
        </is>
      </c>
      <c r="D7" s="6" t="inlineStr">
        <is>
          <t>ワイパー 達成率</t>
        </is>
      </c>
      <c r="F7" s="7" t="inlineStr">
        <is>
          <t>デポ 達成率</t>
        </is>
      </c>
      <c r="H7" s="8" t="inlineStr">
        <is>
          <t>前年比（全体）</t>
        </is>
      </c>
    </row>
    <row r="8" ht="28" customHeight="1">
      <c r="A8" s="5" t="n"/>
      <c r="B8" s="9" t="inlineStr">
        <is>
          <t>65%</t>
        </is>
      </c>
      <c r="D8" s="9" t="inlineStr">
        <is>
          <t>65%</t>
        </is>
      </c>
      <c r="F8" s="10" t="inlineStr">
        <is>
          <t>55%</t>
        </is>
      </c>
      <c r="H8" s="11" t="inlineStr">
        <is>
          <t>104%</t>
        </is>
      </c>
    </row>
    <row r="9" ht="16" customHeight="1">
      <c r="A9" s="5" t="n"/>
      <c r="B9" s="12" t="inlineStr">
        <is>
          <t>▶</t>
        </is>
      </c>
      <c r="D9" s="12" t="inlineStr">
        <is>
          <t>▶</t>
        </is>
      </c>
      <c r="F9" s="13" t="inlineStr">
        <is>
          <t>▼</t>
        </is>
      </c>
      <c r="H9" s="14" t="inlineStr">
        <is>
          <t>▲</t>
        </is>
      </c>
    </row>
    <row r="10" ht="10" customHeight="1"/>
    <row r="11" ht="16" customHeight="1">
      <c r="B11" s="15" t="inlineStr">
        <is>
          <t>▲ 達成率80%以上：良好    ▶ 50〜79%：要注意    ▼ 50%未満：要強化対応</t>
        </is>
      </c>
    </row>
    <row r="12" ht="8" customHeight="1"/>
    <row r="13" ht="22" customHeight="1">
      <c r="B13" s="16" t="inlineStr">
        <is>
          <t>■ 商品別 目標・実績・達成率・前年比 一覧</t>
        </is>
      </c>
    </row>
    <row r="14" ht="6" customHeight="1"/>
    <row r="15" ht="18" customHeight="1">
      <c r="B15" s="17" t="inlineStr">
        <is>
          <t>商品</t>
        </is>
      </c>
      <c r="C15" s="17" t="inlineStr">
        <is>
          <t>目標数量</t>
        </is>
      </c>
      <c r="D15" s="17" t="inlineStr">
        <is>
          <t>実績数量</t>
        </is>
      </c>
      <c r="E15" s="17" t="inlineStr">
        <is>
          <t>達成率</t>
        </is>
      </c>
      <c r="F15" s="17" t="inlineStr">
        <is>
          <t>前年数量</t>
        </is>
      </c>
      <c r="G15" s="17" t="inlineStr">
        <is>
          <t>前年比</t>
        </is>
      </c>
      <c r="H15" s="17" t="inlineStr">
        <is>
          <t>判定</t>
        </is>
      </c>
    </row>
    <row r="16" ht="18" customHeight="1">
      <c r="B16" s="18" t="inlineStr">
        <is>
          <t>ワイパー</t>
        </is>
      </c>
      <c r="C16" s="19" t="n">
        <v>480</v>
      </c>
      <c r="D16" s="20" t="n">
        <v>312</v>
      </c>
      <c r="E16" s="21" t="n">
        <v>0.65</v>
      </c>
      <c r="F16" s="19" t="n">
        <v>390</v>
      </c>
      <c r="G16" s="22" t="n">
        <v>0.8</v>
      </c>
      <c r="H16" s="23" t="inlineStr">
        <is>
          <t>▶ 注意</t>
        </is>
      </c>
    </row>
    <row r="17" ht="18" customHeight="1">
      <c r="B17" s="24" t="inlineStr">
        <is>
          <t>デポジットクリーナー</t>
        </is>
      </c>
      <c r="C17" s="25" t="n">
        <v>360</v>
      </c>
      <c r="D17" s="26" t="n">
        <v>198</v>
      </c>
      <c r="E17" s="27" t="n">
        <v>0.55</v>
      </c>
      <c r="F17" s="25" t="n">
        <v>280</v>
      </c>
      <c r="G17" s="28" t="n">
        <v>0.7071428571428572</v>
      </c>
      <c r="H17" s="23" t="inlineStr">
        <is>
          <t>▶ 注意</t>
        </is>
      </c>
    </row>
    <row r="18" ht="18" customHeight="1">
      <c r="B18" s="29" t="inlineStr">
        <is>
          <t>V-FORCE/VARTA</t>
        </is>
      </c>
      <c r="C18" s="19" t="n">
        <v>200</v>
      </c>
      <c r="D18" s="19" t="n">
        <v>175</v>
      </c>
      <c r="E18" s="22" t="n">
        <v>0.875</v>
      </c>
      <c r="F18" s="19" t="n">
        <v>160</v>
      </c>
      <c r="G18" s="22" t="n">
        <v>1.09375</v>
      </c>
      <c r="H18" s="30" t="inlineStr">
        <is>
          <t>▲ 良好</t>
        </is>
      </c>
    </row>
    <row r="19" ht="18" customHeight="1">
      <c r="B19" s="31" t="inlineStr">
        <is>
          <t>SSオイル</t>
        </is>
      </c>
      <c r="C19" s="25" t="n">
        <v>150</v>
      </c>
      <c r="D19" s="25" t="n">
        <v>142</v>
      </c>
      <c r="E19" s="28" t="n">
        <v>0.9466666666666667</v>
      </c>
      <c r="F19" s="25" t="n">
        <v>138</v>
      </c>
      <c r="G19" s="28" t="n">
        <v>1.028985507246377</v>
      </c>
      <c r="H19" s="30" t="inlineStr">
        <is>
          <t>▲ 良好</t>
        </is>
      </c>
    </row>
    <row r="20" ht="18" customHeight="1">
      <c r="B20" s="29" t="inlineStr">
        <is>
          <t>洗車機液剤</t>
        </is>
      </c>
      <c r="C20" s="19" t="n">
        <v>120</v>
      </c>
      <c r="D20" s="19" t="n">
        <v>108</v>
      </c>
      <c r="E20" s="22" t="n">
        <v>0.9</v>
      </c>
      <c r="F20" s="19" t="n">
        <v>115</v>
      </c>
      <c r="G20" s="22" t="n">
        <v>0.9391304347826087</v>
      </c>
      <c r="H20" s="30" t="inlineStr">
        <is>
          <t>▲ 良好</t>
        </is>
      </c>
    </row>
    <row r="21" ht="18" customHeight="1">
      <c r="B21" s="31" t="inlineStr">
        <is>
          <t>コーティング</t>
        </is>
      </c>
      <c r="C21" s="25" t="n">
        <v>80</v>
      </c>
      <c r="D21" s="25" t="n">
        <v>45</v>
      </c>
      <c r="E21" s="28" t="n">
        <v>0.5625</v>
      </c>
      <c r="F21" s="25" t="n">
        <v>60</v>
      </c>
      <c r="G21" s="28" t="n">
        <v>0.75</v>
      </c>
      <c r="H21" s="23" t="inlineStr">
        <is>
          <t>▶ 注意</t>
        </is>
      </c>
    </row>
    <row r="22" ht="8" customHeight="1"/>
    <row r="24" ht="22" customHeight="1">
      <c r="B24" s="16" t="inlineStr">
        <is>
          <t>■ 商品別 達成率 グラフ</t>
        </is>
      </c>
    </row>
    <row r="26">
      <c r="B26" s="32" t="inlineStr">
        <is>
          <t>商品</t>
        </is>
      </c>
      <c r="C26" s="32" t="inlineStr">
        <is>
          <t>達成率</t>
        </is>
      </c>
      <c r="D26" s="32" t="inlineStr">
        <is>
          <t>目標</t>
        </is>
      </c>
    </row>
    <row r="27">
      <c r="B27" t="inlineStr">
        <is>
          <t>ワイパー</t>
        </is>
      </c>
      <c r="C27" s="33" t="n">
        <v>0.65</v>
      </c>
      <c r="D27" s="33" t="n">
        <v>1</v>
      </c>
    </row>
    <row r="28">
      <c r="B28" t="inlineStr">
        <is>
          <t>デポジットクリーナー</t>
        </is>
      </c>
      <c r="C28" s="33" t="n">
        <v>0.55</v>
      </c>
      <c r="D28" s="33" t="n">
        <v>1</v>
      </c>
    </row>
    <row r="29">
      <c r="B29" t="inlineStr">
        <is>
          <t>V-FORCE/VARTA</t>
        </is>
      </c>
      <c r="C29" s="33" t="n">
        <v>0.875</v>
      </c>
      <c r="D29" s="33" t="n">
        <v>1</v>
      </c>
    </row>
    <row r="30">
      <c r="B30" t="inlineStr">
        <is>
          <t>SSオイル</t>
        </is>
      </c>
      <c r="C30" s="33" t="n">
        <v>0.9466666666666667</v>
      </c>
      <c r="D30" s="33" t="n">
        <v>1</v>
      </c>
    </row>
    <row r="31">
      <c r="B31" t="inlineStr">
        <is>
          <t>洗車機液剤</t>
        </is>
      </c>
      <c r="C31" s="33" t="n">
        <v>0.9</v>
      </c>
      <c r="D31" s="33" t="n">
        <v>1</v>
      </c>
    </row>
    <row r="32">
      <c r="B32" t="inlineStr">
        <is>
          <t>コーティング</t>
        </is>
      </c>
      <c r="C32" s="33" t="n">
        <v>0.5625</v>
      </c>
      <c r="D32" s="33" t="n">
        <v>1</v>
      </c>
    </row>
  </sheetData>
  <mergeCells count="21">
    <mergeCell ref="B7:C7"/>
    <mergeCell ref="A4:D4"/>
    <mergeCell ref="B6:H6"/>
    <mergeCell ref="B24:H24"/>
    <mergeCell ref="A3:I3"/>
    <mergeCell ref="H9:I9"/>
    <mergeCell ref="F7:G7"/>
    <mergeCell ref="A2:I2"/>
    <mergeCell ref="E4:I4"/>
    <mergeCell ref="B8:C8"/>
    <mergeCell ref="F8:G8"/>
    <mergeCell ref="D7:E7"/>
    <mergeCell ref="H7:I7"/>
    <mergeCell ref="B11:H11"/>
    <mergeCell ref="B9:C9"/>
    <mergeCell ref="D9:E9"/>
    <mergeCell ref="F9:G9"/>
    <mergeCell ref="D8:E8"/>
    <mergeCell ref="B13:H13"/>
    <mergeCell ref="A1:I1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2" customWidth="1" min="8" max="8"/>
  </cols>
  <sheetData>
    <row r="1" ht="8" customHeight="1">
      <c r="A1" s="34" t="n"/>
    </row>
    <row r="2" ht="30" customHeight="1">
      <c r="A2" s="35" t="inlineStr">
        <is>
          <t>ワイパー  SS別 実績・目標・戦略</t>
        </is>
      </c>
    </row>
    <row r="3" ht="8" customHeight="1">
      <c r="A3" s="34" t="n"/>
    </row>
    <row r="4" ht="8" customHeight="1"/>
    <row r="5" ht="22" customHeight="1">
      <c r="B5" s="36" t="inlineStr">
        <is>
          <t>■ SS別 当期実績 vs 目標</t>
        </is>
      </c>
    </row>
    <row r="6" ht="18" customHeight="1">
      <c r="B6" s="37" t="inlineStr">
        <is>
          <t>SS名</t>
        </is>
      </c>
      <c r="C6" s="37" t="inlineStr">
        <is>
          <t>実績</t>
        </is>
      </c>
      <c r="D6" s="37" t="inlineStr">
        <is>
          <t>目標</t>
        </is>
      </c>
      <c r="E6" s="37" t="inlineStr">
        <is>
          <t>達成率</t>
        </is>
      </c>
      <c r="F6" s="37" t="inlineStr">
        <is>
          <t>前年</t>
        </is>
      </c>
      <c r="G6" s="37" t="inlineStr">
        <is>
          <t>前年比</t>
        </is>
      </c>
      <c r="H6" s="37" t="inlineStr">
        <is>
          <t>判定</t>
        </is>
      </c>
    </row>
    <row r="7" ht="20" customHeight="1">
      <c r="B7" s="31" t="inlineStr">
        <is>
          <t>○○SS（盛岡北）</t>
        </is>
      </c>
      <c r="C7" s="25" t="n">
        <v>52</v>
      </c>
      <c r="D7" s="25" t="n">
        <v>60</v>
      </c>
      <c r="E7" s="27" t="n">
        <v>0.8666666666666667</v>
      </c>
      <c r="F7" s="25" t="n">
        <v>55</v>
      </c>
      <c r="G7" s="28" t="n">
        <v>0.9454545454545454</v>
      </c>
      <c r="H7" s="30" t="inlineStr">
        <is>
          <t>▲ 良好</t>
        </is>
      </c>
    </row>
    <row r="8" ht="20" customHeight="1">
      <c r="B8" s="29" t="inlineStr">
        <is>
          <t>○○SS（盛岡南）</t>
        </is>
      </c>
      <c r="C8" s="19" t="n">
        <v>78</v>
      </c>
      <c r="D8" s="19" t="n">
        <v>80</v>
      </c>
      <c r="E8" s="21" t="n">
        <v>0.975</v>
      </c>
      <c r="F8" s="19" t="n">
        <v>70</v>
      </c>
      <c r="G8" s="22" t="n">
        <v>1.114285714285714</v>
      </c>
      <c r="H8" s="30" t="inlineStr">
        <is>
          <t>▲ 良好</t>
        </is>
      </c>
    </row>
    <row r="9" ht="20" customHeight="1">
      <c r="B9" s="31" t="inlineStr">
        <is>
          <t>○○SS（花巻）</t>
        </is>
      </c>
      <c r="C9" s="25" t="n">
        <v>30</v>
      </c>
      <c r="D9" s="25" t="n">
        <v>60</v>
      </c>
      <c r="E9" s="27" t="n">
        <v>0.5</v>
      </c>
      <c r="F9" s="25" t="n">
        <v>48</v>
      </c>
      <c r="G9" s="28" t="n">
        <v>0.625</v>
      </c>
      <c r="H9" s="23" t="inlineStr">
        <is>
          <t>▶ 注意</t>
        </is>
      </c>
    </row>
    <row r="10" ht="20" customHeight="1">
      <c r="B10" s="29" t="inlineStr">
        <is>
          <t>○○SS（北上）</t>
        </is>
      </c>
      <c r="C10" s="19" t="n">
        <v>60</v>
      </c>
      <c r="D10" s="19" t="n">
        <v>70</v>
      </c>
      <c r="E10" s="21" t="n">
        <v>0.8571428571428571</v>
      </c>
      <c r="F10" s="19" t="n">
        <v>58</v>
      </c>
      <c r="G10" s="22" t="n">
        <v>1.03448275862069</v>
      </c>
      <c r="H10" s="30" t="inlineStr">
        <is>
          <t>▲ 良好</t>
        </is>
      </c>
    </row>
    <row r="11" ht="20" customHeight="1">
      <c r="B11" s="31" t="inlineStr">
        <is>
          <t>○○SS（一関）</t>
        </is>
      </c>
      <c r="C11" s="25" t="n">
        <v>42</v>
      </c>
      <c r="D11" s="25" t="n">
        <v>50</v>
      </c>
      <c r="E11" s="27" t="n">
        <v>0.84</v>
      </c>
      <c r="F11" s="25" t="n">
        <v>44</v>
      </c>
      <c r="G11" s="28" t="n">
        <v>0.9545454545454546</v>
      </c>
      <c r="H11" s="30" t="inlineStr">
        <is>
          <t>▲ 良好</t>
        </is>
      </c>
    </row>
    <row r="12" ht="20" customHeight="1">
      <c r="B12" s="29" t="inlineStr">
        <is>
          <t>○○SS（水沢）</t>
        </is>
      </c>
      <c r="C12" s="19" t="n">
        <v>25</v>
      </c>
      <c r="D12" s="19" t="n">
        <v>40</v>
      </c>
      <c r="E12" s="21" t="n">
        <v>0.625</v>
      </c>
      <c r="F12" s="19" t="n">
        <v>30</v>
      </c>
      <c r="G12" s="22" t="n">
        <v>0.8333333333333334</v>
      </c>
      <c r="H12" s="23" t="inlineStr">
        <is>
          <t>▶ 注意</t>
        </is>
      </c>
    </row>
    <row r="13" ht="20" customHeight="1">
      <c r="B13" s="31" t="inlineStr">
        <is>
          <t>○○SS（青森東）</t>
        </is>
      </c>
      <c r="C13" s="25" t="n">
        <v>15</v>
      </c>
      <c r="D13" s="25" t="n">
        <v>30</v>
      </c>
      <c r="E13" s="27" t="n">
        <v>0.5</v>
      </c>
      <c r="F13" s="25" t="n">
        <v>20</v>
      </c>
      <c r="G13" s="28" t="n">
        <v>0.75</v>
      </c>
      <c r="H13" s="23" t="inlineStr">
        <is>
          <t>▶ 注意</t>
        </is>
      </c>
    </row>
    <row r="14" ht="20" customHeight="1">
      <c r="B14" s="29" t="inlineStr">
        <is>
          <t>○○SS（弘前）</t>
        </is>
      </c>
      <c r="C14" s="19" t="n">
        <v>10</v>
      </c>
      <c r="D14" s="19" t="n">
        <v>30</v>
      </c>
      <c r="E14" s="21" t="n">
        <v>0.3333333333333333</v>
      </c>
      <c r="F14" s="19" t="n">
        <v>14</v>
      </c>
      <c r="G14" s="22" t="n">
        <v>0.7142857142857143</v>
      </c>
      <c r="H14" s="38" t="inlineStr">
        <is>
          <t>▼ 要対応</t>
        </is>
      </c>
    </row>
    <row r="15" ht="22" customHeight="1">
      <c r="B15" s="39" t="inlineStr">
        <is>
          <t>合　計</t>
        </is>
      </c>
      <c r="C15" s="40" t="n">
        <v>312</v>
      </c>
      <c r="D15" s="40" t="n">
        <v>420</v>
      </c>
      <c r="E15" s="41" t="n">
        <v>0.7428571428571429</v>
      </c>
      <c r="F15" s="40" t="n">
        <v>339</v>
      </c>
      <c r="G15" s="41" t="n">
        <v>0.9203539823008849</v>
      </c>
      <c r="H15" s="42" t="inlineStr"/>
    </row>
    <row r="17" ht="8" customHeight="1"/>
    <row r="18" ht="22" customHeight="1">
      <c r="B18" s="36" t="inlineStr">
        <is>
          <t>■ SS別 実績 vs 目標 グラフ</t>
        </is>
      </c>
    </row>
    <row r="20">
      <c r="B20" s="32" t="inlineStr">
        <is>
          <t>SS名</t>
        </is>
      </c>
      <c r="C20" s="32" t="inlineStr">
        <is>
          <t>実績</t>
        </is>
      </c>
      <c r="D20" s="32" t="inlineStr">
        <is>
          <t>目標</t>
        </is>
      </c>
    </row>
    <row r="21">
      <c r="B21" t="inlineStr">
        <is>
          <t>盛岡北</t>
        </is>
      </c>
      <c r="C21" t="n">
        <v>52</v>
      </c>
      <c r="D21" t="n">
        <v>60</v>
      </c>
    </row>
    <row r="22">
      <c r="B22" t="inlineStr">
        <is>
          <t>盛岡南</t>
        </is>
      </c>
      <c r="C22" t="n">
        <v>78</v>
      </c>
      <c r="D22" t="n">
        <v>80</v>
      </c>
    </row>
    <row r="23">
      <c r="B23" t="inlineStr">
        <is>
          <t>花巻</t>
        </is>
      </c>
      <c r="C23" t="n">
        <v>30</v>
      </c>
      <c r="D23" t="n">
        <v>60</v>
      </c>
    </row>
    <row r="24">
      <c r="B24" t="inlineStr">
        <is>
          <t>北上</t>
        </is>
      </c>
      <c r="C24" t="n">
        <v>60</v>
      </c>
      <c r="D24" t="n">
        <v>70</v>
      </c>
    </row>
    <row r="25">
      <c r="B25" t="inlineStr">
        <is>
          <t>一関</t>
        </is>
      </c>
      <c r="C25" t="n">
        <v>42</v>
      </c>
      <c r="D25" t="n">
        <v>50</v>
      </c>
    </row>
    <row r="26">
      <c r="B26" t="inlineStr">
        <is>
          <t>水沢</t>
        </is>
      </c>
      <c r="C26" t="n">
        <v>25</v>
      </c>
      <c r="D26" t="n">
        <v>40</v>
      </c>
    </row>
    <row r="27">
      <c r="B27" t="inlineStr">
        <is>
          <t>青森東</t>
        </is>
      </c>
      <c r="C27" t="n">
        <v>15</v>
      </c>
      <c r="D27" t="n">
        <v>30</v>
      </c>
    </row>
    <row r="28">
      <c r="B28" t="inlineStr">
        <is>
          <t>弘前</t>
        </is>
      </c>
      <c r="C28" t="n">
        <v>10</v>
      </c>
      <c r="D28" t="n">
        <v>30</v>
      </c>
    </row>
  </sheetData>
  <mergeCells count="5">
    <mergeCell ref="A3:H3"/>
    <mergeCell ref="B5:G5"/>
    <mergeCell ref="A2:H2"/>
    <mergeCell ref="B18:G1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2" customWidth="1" min="8" max="8"/>
  </cols>
  <sheetData>
    <row r="1" ht="8" customHeight="1">
      <c r="A1" s="43" t="n"/>
    </row>
    <row r="2" ht="30" customHeight="1">
      <c r="A2" s="44" t="inlineStr">
        <is>
          <t>デポジットクリーナー  SS別 実績・目標・戦略</t>
        </is>
      </c>
    </row>
    <row r="3" ht="8" customHeight="1">
      <c r="A3" s="43" t="n"/>
    </row>
    <row r="4" ht="8" customHeight="1"/>
    <row r="5" ht="22" customHeight="1">
      <c r="B5" s="45" t="inlineStr">
        <is>
          <t>■ SS別 当期実績 vs 目標</t>
        </is>
      </c>
    </row>
    <row r="6" ht="18" customHeight="1">
      <c r="B6" s="37" t="inlineStr">
        <is>
          <t>SS名</t>
        </is>
      </c>
      <c r="C6" s="37" t="inlineStr">
        <is>
          <t>実績</t>
        </is>
      </c>
      <c r="D6" s="37" t="inlineStr">
        <is>
          <t>目標</t>
        </is>
      </c>
      <c r="E6" s="37" t="inlineStr">
        <is>
          <t>達成率</t>
        </is>
      </c>
      <c r="F6" s="37" t="inlineStr">
        <is>
          <t>前年</t>
        </is>
      </c>
      <c r="G6" s="37" t="inlineStr">
        <is>
          <t>前年比</t>
        </is>
      </c>
      <c r="H6" s="37" t="inlineStr">
        <is>
          <t>判定</t>
        </is>
      </c>
    </row>
    <row r="7" ht="20" customHeight="1">
      <c r="B7" s="31" t="inlineStr">
        <is>
          <t>○○SS（盛岡北）</t>
        </is>
      </c>
      <c r="C7" s="25" t="n">
        <v>28</v>
      </c>
      <c r="D7" s="25" t="n">
        <v>40</v>
      </c>
      <c r="E7" s="27" t="n">
        <v>0.7</v>
      </c>
      <c r="F7" s="25" t="n">
        <v>32</v>
      </c>
      <c r="G7" s="28" t="n">
        <v>0.875</v>
      </c>
      <c r="H7" s="23" t="inlineStr">
        <is>
          <t>▶ 注意</t>
        </is>
      </c>
    </row>
    <row r="8" ht="20" customHeight="1">
      <c r="B8" s="29" t="inlineStr">
        <is>
          <t>○○SS（盛岡南）</t>
        </is>
      </c>
      <c r="C8" s="19" t="n">
        <v>45</v>
      </c>
      <c r="D8" s="19" t="n">
        <v>50</v>
      </c>
      <c r="E8" s="21" t="n">
        <v>0.9</v>
      </c>
      <c r="F8" s="19" t="n">
        <v>40</v>
      </c>
      <c r="G8" s="22" t="n">
        <v>1.125</v>
      </c>
      <c r="H8" s="30" t="inlineStr">
        <is>
          <t>▲ 良好</t>
        </is>
      </c>
    </row>
    <row r="9" ht="20" customHeight="1">
      <c r="B9" s="31" t="inlineStr">
        <is>
          <t>○○SS（花巻）</t>
        </is>
      </c>
      <c r="C9" s="25" t="n">
        <v>15</v>
      </c>
      <c r="D9" s="25" t="n">
        <v>30</v>
      </c>
      <c r="E9" s="27" t="n">
        <v>0.5</v>
      </c>
      <c r="F9" s="25" t="n">
        <v>22</v>
      </c>
      <c r="G9" s="28" t="n">
        <v>0.6818181818181818</v>
      </c>
      <c r="H9" s="23" t="inlineStr">
        <is>
          <t>▶ 注意</t>
        </is>
      </c>
    </row>
    <row r="10" ht="20" customHeight="1">
      <c r="B10" s="29" t="inlineStr">
        <is>
          <t>○○SS（北上）</t>
        </is>
      </c>
      <c r="C10" s="19" t="n">
        <v>38</v>
      </c>
      <c r="D10" s="19" t="n">
        <v>40</v>
      </c>
      <c r="E10" s="21" t="n">
        <v>0.95</v>
      </c>
      <c r="F10" s="19" t="n">
        <v>35</v>
      </c>
      <c r="G10" s="22" t="n">
        <v>1.085714285714286</v>
      </c>
      <c r="H10" s="30" t="inlineStr">
        <is>
          <t>▲ 良好</t>
        </is>
      </c>
    </row>
    <row r="11" ht="20" customHeight="1">
      <c r="B11" s="31" t="inlineStr">
        <is>
          <t>○○SS（一関）</t>
        </is>
      </c>
      <c r="C11" s="25" t="n">
        <v>30</v>
      </c>
      <c r="D11" s="25" t="n">
        <v>35</v>
      </c>
      <c r="E11" s="27" t="n">
        <v>0.8571428571428571</v>
      </c>
      <c r="F11" s="25" t="n">
        <v>28</v>
      </c>
      <c r="G11" s="28" t="n">
        <v>1.071428571428571</v>
      </c>
      <c r="H11" s="30" t="inlineStr">
        <is>
          <t>▲ 良好</t>
        </is>
      </c>
    </row>
    <row r="12" ht="20" customHeight="1">
      <c r="B12" s="29" t="inlineStr">
        <is>
          <t>○○SS（水沢）</t>
        </is>
      </c>
      <c r="C12" s="19" t="n">
        <v>12</v>
      </c>
      <c r="D12" s="19" t="n">
        <v>25</v>
      </c>
      <c r="E12" s="21" t="n">
        <v>0.48</v>
      </c>
      <c r="F12" s="19" t="n">
        <v>18</v>
      </c>
      <c r="G12" s="22" t="n">
        <v>0.6666666666666666</v>
      </c>
      <c r="H12" s="38" t="inlineStr">
        <is>
          <t>▼ 要対応</t>
        </is>
      </c>
    </row>
    <row r="13" ht="20" customHeight="1">
      <c r="B13" s="31" t="inlineStr">
        <is>
          <t>○○SS（青森東）</t>
        </is>
      </c>
      <c r="C13" s="25" t="n">
        <v>8</v>
      </c>
      <c r="D13" s="25" t="n">
        <v>20</v>
      </c>
      <c r="E13" s="27" t="n">
        <v>0.4</v>
      </c>
      <c r="F13" s="25" t="n">
        <v>12</v>
      </c>
      <c r="G13" s="28" t="n">
        <v>0.6666666666666666</v>
      </c>
      <c r="H13" s="38" t="inlineStr">
        <is>
          <t>▼ 要対応</t>
        </is>
      </c>
    </row>
    <row r="14" ht="20" customHeight="1">
      <c r="B14" s="29" t="inlineStr">
        <is>
          <t>○○SS（弘前）</t>
        </is>
      </c>
      <c r="C14" s="19" t="n">
        <v>22</v>
      </c>
      <c r="D14" s="19" t="n">
        <v>20</v>
      </c>
      <c r="E14" s="21" t="n">
        <v>1.1</v>
      </c>
      <c r="F14" s="19" t="n">
        <v>18</v>
      </c>
      <c r="G14" s="22" t="n">
        <v>1.222222222222222</v>
      </c>
      <c r="H14" s="30" t="inlineStr">
        <is>
          <t>▲ 良好</t>
        </is>
      </c>
    </row>
    <row r="15" ht="22" customHeight="1">
      <c r="B15" s="46" t="inlineStr">
        <is>
          <t>合　計</t>
        </is>
      </c>
      <c r="C15" s="47" t="n">
        <v>198</v>
      </c>
      <c r="D15" s="47" t="n">
        <v>260</v>
      </c>
      <c r="E15" s="48" t="n">
        <v>0.7615384615384615</v>
      </c>
      <c r="F15" s="47" t="n">
        <v>205</v>
      </c>
      <c r="G15" s="48" t="n">
        <v>0.9658536585365853</v>
      </c>
      <c r="H15" s="49" t="inlineStr"/>
    </row>
    <row r="17" ht="8" customHeight="1"/>
    <row r="18" ht="22" customHeight="1">
      <c r="B18" s="45" t="inlineStr">
        <is>
          <t>■ SS別 実績 vs 目標 グラフ</t>
        </is>
      </c>
    </row>
    <row r="20">
      <c r="B20" s="32" t="inlineStr">
        <is>
          <t>SS名</t>
        </is>
      </c>
      <c r="C20" s="32" t="inlineStr">
        <is>
          <t>実績</t>
        </is>
      </c>
      <c r="D20" s="32" t="inlineStr">
        <is>
          <t>目標</t>
        </is>
      </c>
    </row>
    <row r="21">
      <c r="B21" t="inlineStr">
        <is>
          <t>盛岡北</t>
        </is>
      </c>
      <c r="C21" t="n">
        <v>28</v>
      </c>
      <c r="D21" t="n">
        <v>40</v>
      </c>
    </row>
    <row r="22">
      <c r="B22" t="inlineStr">
        <is>
          <t>盛岡南</t>
        </is>
      </c>
      <c r="C22" t="n">
        <v>45</v>
      </c>
      <c r="D22" t="n">
        <v>50</v>
      </c>
    </row>
    <row r="23">
      <c r="B23" t="inlineStr">
        <is>
          <t>花巻</t>
        </is>
      </c>
      <c r="C23" t="n">
        <v>15</v>
      </c>
      <c r="D23" t="n">
        <v>30</v>
      </c>
    </row>
    <row r="24">
      <c r="B24" t="inlineStr">
        <is>
          <t>北上</t>
        </is>
      </c>
      <c r="C24" t="n">
        <v>38</v>
      </c>
      <c r="D24" t="n">
        <v>40</v>
      </c>
    </row>
    <row r="25">
      <c r="B25" t="inlineStr">
        <is>
          <t>一関</t>
        </is>
      </c>
      <c r="C25" t="n">
        <v>30</v>
      </c>
      <c r="D25" t="n">
        <v>35</v>
      </c>
    </row>
    <row r="26">
      <c r="B26" t="inlineStr">
        <is>
          <t>水沢</t>
        </is>
      </c>
      <c r="C26" t="n">
        <v>12</v>
      </c>
      <c r="D26" t="n">
        <v>25</v>
      </c>
    </row>
    <row r="27">
      <c r="B27" t="inlineStr">
        <is>
          <t>青森東</t>
        </is>
      </c>
      <c r="C27" t="n">
        <v>8</v>
      </c>
      <c r="D27" t="n">
        <v>20</v>
      </c>
    </row>
    <row r="28">
      <c r="B28" t="inlineStr">
        <is>
          <t>弘前</t>
        </is>
      </c>
      <c r="C28" t="n">
        <v>22</v>
      </c>
      <c r="D28" t="n">
        <v>20</v>
      </c>
    </row>
  </sheetData>
  <mergeCells count="5">
    <mergeCell ref="A3:H3"/>
    <mergeCell ref="B5:G5"/>
    <mergeCell ref="A2:H2"/>
    <mergeCell ref="B18:G1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10" customWidth="1" min="4" max="4"/>
    <col width="14" customWidth="1" min="5" max="5"/>
    <col width="36" customWidth="1" min="6" max="6"/>
    <col width="30" customWidth="1" min="7" max="7"/>
    <col width="2" customWidth="1" min="8" max="8"/>
  </cols>
  <sheetData>
    <row r="1" ht="8" customHeight="1">
      <c r="A1" s="50" t="n"/>
    </row>
    <row r="2" ht="30" customHeight="1">
      <c r="A2" s="51" t="inlineStr">
        <is>
          <t>SS別 戦略マップ  ─  アクション計画</t>
        </is>
      </c>
    </row>
    <row r="3" ht="8" customHeight="1">
      <c r="A3" s="50" t="n"/>
    </row>
    <row r="4" ht="8" customHeight="1"/>
    <row r="5" ht="22" customHeight="1">
      <c r="B5" s="52" t="inlineStr">
        <is>
          <t>■ 戦略ランク 凡例</t>
        </is>
      </c>
    </row>
    <row r="6" ht="18" customHeight="1">
      <c r="B6" s="53" t="inlineStr">
        <is>
          <t>A：維持・深耕</t>
        </is>
      </c>
      <c r="D6" s="54" t="inlineStr">
        <is>
          <t>目標達成圏。関係強化・新商品提案</t>
        </is>
      </c>
    </row>
    <row r="7" ht="18" customHeight="1">
      <c r="B7" s="55" t="inlineStr">
        <is>
          <t>B：提案強化</t>
        </is>
      </c>
      <c r="D7" s="56" t="inlineStr">
        <is>
          <t>目標比70〜90%。訪問頻度↑・POP活用</t>
        </is>
      </c>
    </row>
    <row r="8" ht="18" customHeight="1">
      <c r="B8" s="57" t="inlineStr">
        <is>
          <t>C：集中テコ入れ</t>
        </is>
      </c>
      <c r="D8" s="58" t="inlineStr">
        <is>
          <t>目標比50%未満。代理店同行・特別提案</t>
        </is>
      </c>
    </row>
    <row r="9" ht="8" customHeight="1"/>
    <row r="10" ht="22" customHeight="1">
      <c r="B10" s="52" t="inlineStr">
        <is>
          <t>■ SS別 戦略・アクション一覧</t>
        </is>
      </c>
    </row>
    <row r="11" ht="30" customHeight="1">
      <c r="B11" s="59" t="inlineStr">
        <is>
          <t>SS名</t>
        </is>
      </c>
      <c r="C11" s="59" t="inlineStr">
        <is>
          <t>戦略
ランク</t>
        </is>
      </c>
      <c r="D11" s="59" t="inlineStr">
        <is>
          <t>重点商品
達成率</t>
        </is>
      </c>
      <c r="E11" s="59" t="inlineStr">
        <is>
          <t>戦略タイプ</t>
        </is>
      </c>
      <c r="F11" s="59" t="inlineStr">
        <is>
          <t>現状評価・取り組み方針</t>
        </is>
      </c>
      <c r="G11" s="59" t="inlineStr">
        <is>
          <t>推奨アクション</t>
        </is>
      </c>
    </row>
    <row r="12" ht="42" customHeight="1">
      <c r="B12" s="60" t="inlineStr">
        <is>
          <t>○○SS（盛岡北）</t>
        </is>
      </c>
      <c r="C12" s="61" t="inlineStr">
        <is>
          <t>B</t>
        </is>
      </c>
      <c r="D12" s="21" t="n">
        <v>0.7833333333333333</v>
      </c>
      <c r="E12" s="23" t="inlineStr">
        <is>
          <t>提案強化</t>
        </is>
      </c>
      <c r="F12" s="62" t="inlineStr">
        <is>
          <t>目標比70〜90%。重点商品の提案頻度を上げ、POPや試供品を活用した販促を実施</t>
        </is>
      </c>
      <c r="G12" s="62" t="inlineStr">
        <is>
          <t>◯ 月1回以上訪問 ◯ POP設置支援</t>
        </is>
      </c>
    </row>
    <row r="13" ht="42" customHeight="1">
      <c r="B13" s="63" t="inlineStr">
        <is>
          <t>○○SS（盛岡南）</t>
        </is>
      </c>
      <c r="C13" s="64" t="inlineStr">
        <is>
          <t>A</t>
        </is>
      </c>
      <c r="D13" s="27" t="n">
        <v>0.9375</v>
      </c>
      <c r="E13" s="30" t="inlineStr">
        <is>
          <t>維持・深耕</t>
        </is>
      </c>
      <c r="F13" s="65" t="inlineStr">
        <is>
          <t>目標達成水準。定期フォローを継続し、新商品提案でさらなる深耕を図る</t>
        </is>
      </c>
      <c r="G13" s="65" t="inlineStr">
        <is>
          <t>◎ 新商品提案 ◎ 追加SKU展開</t>
        </is>
      </c>
    </row>
    <row r="14" ht="42" customHeight="1">
      <c r="B14" s="60" t="inlineStr">
        <is>
          <t>○○SS（花巻）</t>
        </is>
      </c>
      <c r="C14" s="66" t="inlineStr">
        <is>
          <t>C</t>
        </is>
      </c>
      <c r="D14" s="21" t="n">
        <v>0.5</v>
      </c>
      <c r="E14" s="38" t="inlineStr">
        <is>
          <t>集中テコ入れ</t>
        </is>
      </c>
      <c r="F14" s="62" t="inlineStr">
        <is>
          <t>目標比50%未満。要因分析を優先し、代理店同行訪問・特別プロモを検討する</t>
        </is>
      </c>
      <c r="G14" s="62" t="inlineStr">
        <is>
          <t>✗→◯ 代理店同行訪問 ✗→◯ 特別値引き提案</t>
        </is>
      </c>
    </row>
    <row r="15" ht="42" customHeight="1">
      <c r="B15" s="63" t="inlineStr">
        <is>
          <t>○○SS（北上）</t>
        </is>
      </c>
      <c r="C15" s="61" t="inlineStr">
        <is>
          <t>B</t>
        </is>
      </c>
      <c r="D15" s="27" t="n">
        <v>0.9035714285714285</v>
      </c>
      <c r="E15" s="23" t="inlineStr">
        <is>
          <t>提案強化</t>
        </is>
      </c>
      <c r="F15" s="65" t="inlineStr">
        <is>
          <t>目標比70〜90%。重点商品の提案頻度を上げ、POPや試供品を活用した販促を実施</t>
        </is>
      </c>
      <c r="G15" s="65" t="inlineStr">
        <is>
          <t>◯ 月1回以上訪問 ◯ POP設置支援</t>
        </is>
      </c>
    </row>
    <row r="16" ht="42" customHeight="1">
      <c r="B16" s="60" t="inlineStr">
        <is>
          <t>○○SS（一関）</t>
        </is>
      </c>
      <c r="C16" s="61" t="inlineStr">
        <is>
          <t>B</t>
        </is>
      </c>
      <c r="D16" s="21" t="n">
        <v>0.8485714285714285</v>
      </c>
      <c r="E16" s="23" t="inlineStr">
        <is>
          <t>提案強化</t>
        </is>
      </c>
      <c r="F16" s="62" t="inlineStr">
        <is>
          <t>目標比70〜90%。重点商品の提案頻度を上げ、POPや試供品を活用した販促を実施</t>
        </is>
      </c>
      <c r="G16" s="62" t="inlineStr">
        <is>
          <t>◯ 月1回以上訪問 ◯ POP設置支援</t>
        </is>
      </c>
    </row>
    <row r="17" ht="42" customHeight="1">
      <c r="B17" s="63" t="inlineStr">
        <is>
          <t>○○SS（水沢）</t>
        </is>
      </c>
      <c r="C17" s="66" t="inlineStr">
        <is>
          <t>C</t>
        </is>
      </c>
      <c r="D17" s="27" t="n">
        <v>0.5525</v>
      </c>
      <c r="E17" s="38" t="inlineStr">
        <is>
          <t>集中テコ入れ</t>
        </is>
      </c>
      <c r="F17" s="65" t="inlineStr">
        <is>
          <t>目標比50%未満。要因分析を優先し、代理店同行訪問・特別プロモを検討する</t>
        </is>
      </c>
      <c r="G17" s="65" t="inlineStr">
        <is>
          <t>✗→◯ 代理店同行訪問 ✗→◯ 特別値引き提案</t>
        </is>
      </c>
    </row>
    <row r="18" ht="42" customHeight="1">
      <c r="B18" s="60" t="inlineStr">
        <is>
          <t>○○SS（青森東）</t>
        </is>
      </c>
      <c r="C18" s="66" t="inlineStr">
        <is>
          <t>C</t>
        </is>
      </c>
      <c r="D18" s="21" t="n">
        <v>0.45</v>
      </c>
      <c r="E18" s="38" t="inlineStr">
        <is>
          <t>集中テコ入れ</t>
        </is>
      </c>
      <c r="F18" s="62" t="inlineStr">
        <is>
          <t>目標比50%未満。要因分析を優先し、代理店同行訪問・特別プロモを検討する</t>
        </is>
      </c>
      <c r="G18" s="62" t="inlineStr">
        <is>
          <t>✗→◯ 代理店同行訪問 ✗→◯ 特別値引き提案</t>
        </is>
      </c>
    </row>
    <row r="19" ht="42" customHeight="1">
      <c r="B19" s="63" t="inlineStr">
        <is>
          <t>○○SS（弘前）</t>
        </is>
      </c>
      <c r="C19" s="66" t="inlineStr">
        <is>
          <t>C</t>
        </is>
      </c>
      <c r="D19" s="27" t="n">
        <v>0.7166666666666667</v>
      </c>
      <c r="E19" s="38" t="inlineStr">
        <is>
          <t>集中テコ入れ</t>
        </is>
      </c>
      <c r="F19" s="65" t="inlineStr">
        <is>
          <t>目標比50%未満。要因分析を優先し、代理店同行訪問・特別プロモを検討する</t>
        </is>
      </c>
      <c r="G19" s="65" t="inlineStr">
        <is>
          <t>✗→◯ 代理店同行訪問 ✗→◯ 特別値引き提案</t>
        </is>
      </c>
    </row>
    <row r="20" ht="8" customHeight="1"/>
    <row r="21" ht="16" customHeight="1">
      <c r="B21" s="15" t="inlineStr">
        <is>
          <t>※ 達成率は重点2商品（ワイパー・デポジットクリーナー）の平均値。実データ入力後に自動更新。</t>
        </is>
      </c>
    </row>
  </sheetData>
  <mergeCells count="12">
    <mergeCell ref="B6:C6"/>
    <mergeCell ref="A3:H3"/>
    <mergeCell ref="B10:G10"/>
    <mergeCell ref="B7:C7"/>
    <mergeCell ref="B5:G5"/>
    <mergeCell ref="D8:G8"/>
    <mergeCell ref="A2:H2"/>
    <mergeCell ref="D6:G6"/>
    <mergeCell ref="D7:G7"/>
    <mergeCell ref="A1:H1"/>
    <mergeCell ref="B21:G2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2026-06-02T10:26:57Z</dcterms:created>
  <dcterms:modified xsi:type="dcterms:W3CDTF">2026-06-02T10:26:57Z</dcterms:modified>
</cp:coreProperties>
</file>